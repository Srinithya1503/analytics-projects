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 activeTab="2"/>
  </bookViews>
  <sheets>
    <sheet name="Assumptions" sheetId="1" r:id="rId1"/>
    <sheet name="Budget Impact Model" sheetId="2" r:id="rId2"/>
    <sheet name="HEOR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<sst xmlns="http://schemas.openxmlformats.org/spreadsheetml/2006/main" count="63" uniqueCount="59">
  <si>
    <t>Real-World Cost-Effectiveness &amp; Budget Impact Model</t>
  </si>
  <si>
    <t>Key Assumptions &amp; Input Drivers</t>
  </si>
  <si>
    <t>Assumption</t>
  </si>
  <si>
    <t>Value</t>
  </si>
  <si>
    <t>Source / Note</t>
  </si>
  <si>
    <t>Total eligible patient population</t>
  </si>
  <si>
    <t>Assumption: target commercial population for budget impact analysis</t>
  </si>
  <si>
    <t>Year 1 Drug X market uptake</t>
  </si>
  <si>
    <t>Assumption: conservative first-year adoption rate</t>
  </si>
  <si>
    <t>Year 2 Drug X market uptake</t>
  </si>
  <si>
    <t>Assumption: adoption grows as formulary access expands</t>
  </si>
  <si>
    <t>Year 3 Drug X market uptake</t>
  </si>
  <si>
    <t>Assumption: steady-state adoption ceiling for BIM horizon</t>
  </si>
  <si>
    <t>Annual cost per patient - Standard of Care</t>
  </si>
  <si>
    <t>Source: analysis.R output, simulated RWD (mean AnnualCost, SoC arm)</t>
  </si>
  <si>
    <t>Annual cost per patient - Drug X</t>
  </si>
  <si>
    <t>Source: analysis.R output, simulated RWD (mean AnnualCost, Drug X arm)</t>
  </si>
  <si>
    <t>Avg. hospitalizations/patient/yr - Standard of Care</t>
  </si>
  <si>
    <t>Source: analysis.R output, simulated RWD (t-test group mean)</t>
  </si>
  <si>
    <t>Avg. hospitalizations/patient/yr - Drug X</t>
  </si>
  <si>
    <t>Cost per hospitalization event</t>
  </si>
  <si>
    <t>Assumption: illustrative U.S. inpatient stay cost for modeling purposes</t>
  </si>
  <si>
    <t>QALY gain per patient (Drug X vs. SoC)</t>
  </si>
  <si>
    <t>Source: analysis.R output, simulated RWD (incremental QALY)</t>
  </si>
  <si>
    <t>Willingness-to-pay threshold ($/QALY)</t>
  </si>
  <si>
    <t>Assumption: commonly cited U.S. HTA cost-effectiveness threshold</t>
  </si>
  <si>
    <t>Note: Blue/highlighted cells are editable inputs. Change any assumption above and the Budget Impact and HEOR Summary sheets recalculate automatically.</t>
  </si>
  <si>
    <t>3-Year Budget Impact Model</t>
  </si>
  <si>
    <t>Scenario: World WITHOUT Drug X  vs.  World WITH Drug X (phased uptake)</t>
  </si>
  <si>
    <t>Metric</t>
  </si>
  <si>
    <t>Year 1</t>
  </si>
  <si>
    <t>Year 2</t>
  </si>
  <si>
    <t>Year 3</t>
  </si>
  <si>
    <t>Drug X market uptake (%)</t>
  </si>
  <si>
    <t>Patients on Drug X</t>
  </si>
  <si>
    <t>Patients remaining on Standard of Care</t>
  </si>
  <si>
    <t>SCENARIO A: World WITHOUT Drug X (100% SoC)</t>
  </si>
  <si>
    <t>Total treatment cost</t>
  </si>
  <si>
    <t>Total hospitalization cost</t>
  </si>
  <si>
    <t>Total budget - Scenario A</t>
  </si>
  <si>
    <t>SCENARIO B: World WITH Drug X (phased uptake)</t>
  </si>
  <si>
    <t>Drug X treatment cost</t>
  </si>
  <si>
    <t>Drug X hospitalization cost</t>
  </si>
  <si>
    <t>Remaining SoC treatment cost</t>
  </si>
  <si>
    <t>Remaining SoC hospitalization cost</t>
  </si>
  <si>
    <t>Total budget - Scenario B</t>
  </si>
  <si>
    <t>NET BUDGET IMPACT (B - A)</t>
  </si>
  <si>
    <t>Net budget impact per member (PMPY)</t>
  </si>
  <si>
    <t>Note: Scenario A assumes no Drug X adoption (100% Standard of Care). Scenario B phases in Drug X uptake per the Assumptions sheet, with remaining patients on Standard of Care.</t>
  </si>
  <si>
    <t>Cost-Effectiveness Summary (ICER)</t>
  </si>
  <si>
    <t>Based on simulated real-world data.</t>
  </si>
  <si>
    <t>Mean annual cost - Standard of Care</t>
  </si>
  <si>
    <t>Mean annual cost - Drug X</t>
  </si>
  <si>
    <t>Incremental cost (Drug X - SoC)</t>
  </si>
  <si>
    <t>Mean QALY gain (Drug X vs. SoC)</t>
  </si>
  <si>
    <t>ICER ($ per QALY gained)</t>
  </si>
  <si>
    <t>Cost-effectiveness verdict (vs. WTP threshold)</t>
  </si>
  <si>
    <t>Clinical significance (hospitalizations)</t>
  </si>
  <si>
    <t xml:space="preserve">Welch two-sample t-test: t = -14.58, df = 931.1, p &lt; 2.2e-16 (statistically significant reduction in hospitalizations with Drug X).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</si>
</sst>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&quot;$&quot;#,##0.00;&quot;($&quot;#,##0.00\);\-"/>
    <numFmt numFmtId="181" formatCode="&quot;$&quot;#,##0;&quot;($&quot;#,##0\);\-"/>
    <numFmt numFmtId="182" formatCode="0.0%"/>
    <numFmt numFmtId="183" formatCode="#,##0;\(#,##0\);\-"/>
  </numFmts>
  <fonts count="35">
    <font>
      <sz val="11"/>
      <color theme="1"/>
      <name val="Calibri"/>
      <charset val="1"/>
    </font>
    <font>
      <b/>
      <sz val="11"/>
      <color theme="0" tint="-0.5"/>
      <name val="Calibri"/>
      <charset val="1"/>
    </font>
    <font>
      <b/>
      <sz val="11"/>
      <color theme="1"/>
      <name val="Calibri"/>
      <charset val="1"/>
    </font>
    <font>
      <b/>
      <sz val="14"/>
      <color rgb="FF1F4E78"/>
      <name val="Arial"/>
      <charset val="1"/>
    </font>
    <font>
      <b/>
      <i/>
      <sz val="9"/>
      <color theme="0" tint="-0.5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b/>
      <i/>
      <sz val="9"/>
      <color rgb="FF808080"/>
      <name val="Arial"/>
      <charset val="1"/>
    </font>
    <font>
      <b/>
      <sz val="12"/>
      <color rgb="FF1F4E78"/>
      <name val="Arial"/>
      <charset val="1"/>
    </font>
    <font>
      <b/>
      <i/>
      <sz val="11"/>
      <color rgb="FF1F4E78"/>
      <name val="Arial"/>
      <charset val="1"/>
    </font>
    <font>
      <b/>
      <sz val="11"/>
      <color rgb="FFC00000"/>
      <name val="Arial"/>
      <charset val="1"/>
    </font>
    <font>
      <sz val="11"/>
      <color rgb="FF0000FF"/>
      <name val="Arial"/>
      <charset val="1"/>
    </font>
    <font>
      <i/>
      <sz val="9"/>
      <color rgb="FF80808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E4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Border="0" applyAlignment="0" applyProtection="0"/>
    <xf numFmtId="177" fontId="14" fillId="0" borderId="0" applyBorder="0" applyAlignment="0" applyProtection="0"/>
    <xf numFmtId="9" fontId="14" fillId="0" borderId="0" applyBorder="0" applyAlignment="0" applyProtection="0"/>
    <xf numFmtId="178" fontId="14" fillId="0" borderId="0" applyBorder="0" applyAlignment="0" applyProtection="0"/>
    <xf numFmtId="179" fontId="14" fillId="0" borderId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7" borderId="6" applyNumberFormat="0" applyAlignment="0" applyProtection="0">
      <alignment vertical="center"/>
    </xf>
    <xf numFmtId="0" fontId="27" fillId="8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Border="1"/>
    <xf numFmtId="0" fontId="4" fillId="0" borderId="0" xfId="0" applyFont="1" applyBorder="1"/>
    <xf numFmtId="0" fontId="5" fillId="2" borderId="1" xfId="0" applyFont="1" applyFill="1" applyBorder="1"/>
    <xf numFmtId="0" fontId="6" fillId="0" borderId="1" xfId="0" applyFont="1" applyBorder="1"/>
    <xf numFmtId="180" fontId="6" fillId="0" borderId="1" xfId="0" applyNumberFormat="1" applyFont="1" applyBorder="1"/>
    <xf numFmtId="0" fontId="7" fillId="0" borderId="1" xfId="0" applyFont="1" applyBorder="1"/>
    <xf numFmtId="180" fontId="7" fillId="0" borderId="1" xfId="0" applyNumberFormat="1" applyFont="1" applyBorder="1"/>
    <xf numFmtId="0" fontId="0" fillId="0" borderId="1" xfId="0" applyBorder="1"/>
    <xf numFmtId="4" fontId="6" fillId="0" borderId="1" xfId="0" applyNumberFormat="1" applyFont="1" applyBorder="1"/>
    <xf numFmtId="181" fontId="7" fillId="0" borderId="1" xfId="0" applyNumberFormat="1" applyFont="1" applyBorder="1"/>
    <xf numFmtId="181" fontId="6" fillId="0" borderId="1" xfId="0" applyNumberFormat="1" applyFont="1" applyBorder="1"/>
    <xf numFmtId="0" fontId="7" fillId="0" borderId="2" xfId="0" applyFont="1" applyBorder="1"/>
    <xf numFmtId="0" fontId="8" fillId="0" borderId="0" xfId="0" applyFont="1" applyBorder="1" applyAlignment="1">
      <alignment wrapText="1"/>
    </xf>
    <xf numFmtId="0" fontId="9" fillId="0" borderId="0" xfId="0" applyFont="1" applyBorder="1"/>
    <xf numFmtId="0" fontId="5" fillId="2" borderId="1" xfId="0" applyFont="1" applyFill="1" applyBorder="1" applyAlignment="1">
      <alignment horizontal="center"/>
    </xf>
    <xf numFmtId="182" fontId="6" fillId="0" borderId="1" xfId="0" applyNumberFormat="1" applyFont="1" applyBorder="1"/>
    <xf numFmtId="183" fontId="6" fillId="0" borderId="1" xfId="0" applyNumberFormat="1" applyFont="1" applyBorder="1"/>
    <xf numFmtId="0" fontId="10" fillId="0" borderId="1" xfId="0" applyFont="1" applyBorder="1"/>
    <xf numFmtId="181" fontId="0" fillId="0" borderId="1" xfId="0" applyNumberFormat="1" applyBorder="1"/>
    <xf numFmtId="0" fontId="11" fillId="0" borderId="1" xfId="0" applyFont="1" applyBorder="1"/>
    <xf numFmtId="181" fontId="11" fillId="3" borderId="1" xfId="0" applyNumberFormat="1" applyFont="1" applyFill="1" applyBorder="1"/>
    <xf numFmtId="180" fontId="0" fillId="0" borderId="1" xfId="0" applyNumberFormat="1" applyBorder="1"/>
    <xf numFmtId="0" fontId="12" fillId="4" borderId="1" xfId="0" applyFont="1" applyFill="1" applyBorder="1"/>
    <xf numFmtId="0" fontId="13" fillId="0" borderId="1" xfId="0" applyFont="1" applyBorder="1"/>
    <xf numFmtId="182" fontId="12" fillId="4" borderId="1" xfId="0" applyNumberFormat="1" applyFont="1" applyFill="1" applyBorder="1"/>
    <xf numFmtId="180" fontId="12" fillId="4" borderId="1" xfId="0" applyNumberFormat="1" applyFont="1" applyFill="1" applyBorder="1"/>
    <xf numFmtId="4" fontId="12" fillId="4" borderId="1" xfId="0" applyNumberFormat="1" applyFont="1" applyFill="1" applyBorder="1"/>
    <xf numFmtId="0" fontId="13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CE4E4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showGridLines="0" workbookViewId="0">
      <selection activeCell="C12" sqref="C12"/>
    </sheetView>
  </sheetViews>
  <sheetFormatPr defaultColWidth="8.67592592592593" defaultRowHeight="14.4" outlineLevelCol="2"/>
  <cols>
    <col min="1" max="1" width="42.7777777777778" customWidth="1"/>
    <col min="2" max="2" width="18" customWidth="1"/>
    <col min="3" max="3" width="56" customWidth="1"/>
    <col min="4" max="5" width="10" customWidth="1"/>
  </cols>
  <sheetData>
    <row r="1" ht="17.4" spans="1:3">
      <c r="A1" s="3" t="s">
        <v>0</v>
      </c>
      <c r="B1" s="3"/>
      <c r="C1" s="3"/>
    </row>
    <row r="2" ht="15.6" spans="1:3">
      <c r="A2" s="16" t="s">
        <v>1</v>
      </c>
      <c r="B2" s="16"/>
      <c r="C2" s="16"/>
    </row>
    <row r="4" spans="1:3">
      <c r="A4" s="5" t="s">
        <v>2</v>
      </c>
      <c r="B4" s="5" t="s">
        <v>3</v>
      </c>
      <c r="C4" s="5" t="s">
        <v>4</v>
      </c>
    </row>
    <row r="5" spans="1:3">
      <c r="A5" s="6" t="s">
        <v>5</v>
      </c>
      <c r="B5" s="25">
        <v>10000</v>
      </c>
      <c r="C5" s="26" t="s">
        <v>6</v>
      </c>
    </row>
    <row r="6" spans="1:3">
      <c r="A6" s="6" t="s">
        <v>7</v>
      </c>
      <c r="B6" s="27">
        <v>0.1</v>
      </c>
      <c r="C6" s="26" t="s">
        <v>8</v>
      </c>
    </row>
    <row r="7" spans="1:3">
      <c r="A7" s="6" t="s">
        <v>9</v>
      </c>
      <c r="B7" s="27">
        <v>0.2</v>
      </c>
      <c r="C7" s="26" t="s">
        <v>10</v>
      </c>
    </row>
    <row r="8" spans="1:3">
      <c r="A8" s="6" t="s">
        <v>11</v>
      </c>
      <c r="B8" s="27">
        <v>0.3</v>
      </c>
      <c r="C8" s="26" t="s">
        <v>12</v>
      </c>
    </row>
    <row r="9" spans="1:3">
      <c r="A9" s="6" t="s">
        <v>13</v>
      </c>
      <c r="B9" s="28">
        <v>11954.93</v>
      </c>
      <c r="C9" s="26" t="s">
        <v>14</v>
      </c>
    </row>
    <row r="10" spans="1:3">
      <c r="A10" s="6" t="s">
        <v>15</v>
      </c>
      <c r="B10" s="28">
        <v>21917.07</v>
      </c>
      <c r="C10" s="26" t="s">
        <v>16</v>
      </c>
    </row>
    <row r="11" spans="1:3">
      <c r="A11" s="6" t="s">
        <v>17</v>
      </c>
      <c r="B11" s="29">
        <v>3.392</v>
      </c>
      <c r="C11" s="26" t="s">
        <v>18</v>
      </c>
    </row>
    <row r="12" spans="1:3">
      <c r="A12" s="6" t="s">
        <v>19</v>
      </c>
      <c r="B12" s="29">
        <v>1.884</v>
      </c>
      <c r="C12" s="26" t="s">
        <v>18</v>
      </c>
    </row>
    <row r="13" spans="1:3">
      <c r="A13" s="6" t="s">
        <v>20</v>
      </c>
      <c r="B13" s="28">
        <v>8000</v>
      </c>
      <c r="C13" s="26" t="s">
        <v>21</v>
      </c>
    </row>
    <row r="14" spans="1:3">
      <c r="A14" s="6" t="s">
        <v>22</v>
      </c>
      <c r="B14" s="29">
        <v>0.1508</v>
      </c>
      <c r="C14" s="26" t="s">
        <v>23</v>
      </c>
    </row>
    <row r="15" spans="1:3">
      <c r="A15" s="6" t="s">
        <v>24</v>
      </c>
      <c r="B15" s="29">
        <v>50000</v>
      </c>
      <c r="C15" s="26" t="s">
        <v>25</v>
      </c>
    </row>
    <row r="17" spans="1:3">
      <c r="A17" s="30" t="s">
        <v>26</v>
      </c>
      <c r="B17" s="30"/>
      <c r="C17" s="30"/>
    </row>
  </sheetData>
  <mergeCells count="3">
    <mergeCell ref="A1:C1"/>
    <mergeCell ref="A2:C2"/>
    <mergeCell ref="A17:C1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showGridLines="0" workbookViewId="0">
      <selection activeCell="E21" sqref="E21"/>
    </sheetView>
  </sheetViews>
  <sheetFormatPr defaultColWidth="8.67592592592593" defaultRowHeight="14.4" outlineLevelCol="3"/>
  <cols>
    <col min="1" max="1" width="55.5555555555556" customWidth="1"/>
    <col min="2" max="4" width="15" customWidth="1"/>
    <col min="5" max="5" width="16" customWidth="1"/>
  </cols>
  <sheetData>
    <row r="1" ht="17.4" spans="1:4">
      <c r="A1" s="3" t="s">
        <v>27</v>
      </c>
      <c r="B1" s="3"/>
      <c r="C1" s="3"/>
      <c r="D1" s="3"/>
    </row>
    <row r="2" ht="15.6" spans="1:4">
      <c r="A2" s="16" t="s">
        <v>28</v>
      </c>
      <c r="B2" s="16"/>
      <c r="C2" s="16"/>
      <c r="D2" s="16"/>
    </row>
    <row r="4" spans="1:4">
      <c r="A4" s="5" t="s">
        <v>29</v>
      </c>
      <c r="B4" s="17" t="s">
        <v>30</v>
      </c>
      <c r="C4" s="17" t="s">
        <v>31</v>
      </c>
      <c r="D4" s="17" t="s">
        <v>32</v>
      </c>
    </row>
    <row r="5" spans="1:4">
      <c r="A5" s="8" t="s">
        <v>33</v>
      </c>
      <c r="B5" s="18">
        <f>Assumptions!$B$6</f>
        <v>0.1</v>
      </c>
      <c r="C5" s="18">
        <f>Assumptions!$B$7</f>
        <v>0.2</v>
      </c>
      <c r="D5" s="18">
        <f>Assumptions!$B$8</f>
        <v>0.3</v>
      </c>
    </row>
    <row r="6" spans="1:4">
      <c r="A6" s="6" t="s">
        <v>34</v>
      </c>
      <c r="B6" s="19">
        <f>Assumptions!$B$5*B5</f>
        <v>1000</v>
      </c>
      <c r="C6" s="19">
        <f>Assumptions!$B$5*C5</f>
        <v>2000</v>
      </c>
      <c r="D6" s="19">
        <f>Assumptions!$B$5*D5</f>
        <v>3000</v>
      </c>
    </row>
    <row r="7" spans="1:4">
      <c r="A7" s="6" t="s">
        <v>35</v>
      </c>
      <c r="B7" s="19">
        <f>Assumptions!$B$5-B6</f>
        <v>9000</v>
      </c>
      <c r="C7" s="19">
        <f>Assumptions!$B$5-C6</f>
        <v>8000</v>
      </c>
      <c r="D7" s="19">
        <f>Assumptions!$B$5-D6</f>
        <v>7000</v>
      </c>
    </row>
    <row r="8" spans="1:4">
      <c r="A8" s="10"/>
      <c r="B8" s="10"/>
      <c r="C8" s="10"/>
      <c r="D8" s="10"/>
    </row>
    <row r="9" spans="1:4">
      <c r="A9" s="20" t="s">
        <v>36</v>
      </c>
      <c r="B9" s="10"/>
      <c r="C9" s="10"/>
      <c r="D9" s="10"/>
    </row>
    <row r="10" spans="1:4">
      <c r="A10" s="6" t="s">
        <v>37</v>
      </c>
      <c r="B10" s="21">
        <f>Assumptions!$B$5*Assumptions!$B$9</f>
        <v>119549300</v>
      </c>
      <c r="C10" s="21">
        <f>Assumptions!$B$5*Assumptions!$B$9</f>
        <v>119549300</v>
      </c>
      <c r="D10" s="21">
        <f>Assumptions!$B$5*Assumptions!$B$9</f>
        <v>119549300</v>
      </c>
    </row>
    <row r="11" spans="1:4">
      <c r="A11" s="6" t="s">
        <v>38</v>
      </c>
      <c r="B11" s="21">
        <f>Assumptions!$B$5*Assumptions!$B$11*Assumptions!$B$13</f>
        <v>271360000</v>
      </c>
      <c r="C11" s="21">
        <f>Assumptions!$B$5*Assumptions!$B$11*Assumptions!$B$13</f>
        <v>271360000</v>
      </c>
      <c r="D11" s="21">
        <f>Assumptions!$B$5*Assumptions!$B$11*Assumptions!$B$13</f>
        <v>271360000</v>
      </c>
    </row>
    <row r="12" spans="1:4">
      <c r="A12" s="8" t="s">
        <v>39</v>
      </c>
      <c r="B12" s="12">
        <f>SUM(B10:B11)</f>
        <v>390909300</v>
      </c>
      <c r="C12" s="12">
        <f>SUM(C10:C11)</f>
        <v>390909300</v>
      </c>
      <c r="D12" s="12">
        <f>SUM(D10:D11)</f>
        <v>390909300</v>
      </c>
    </row>
    <row r="13" spans="1:4">
      <c r="A13" s="10"/>
      <c r="B13" s="10"/>
      <c r="C13" s="10"/>
      <c r="D13" s="10"/>
    </row>
    <row r="14" spans="1:4">
      <c r="A14" s="20" t="s">
        <v>40</v>
      </c>
      <c r="B14" s="10"/>
      <c r="C14" s="10"/>
      <c r="D14" s="10"/>
    </row>
    <row r="15" spans="1:4">
      <c r="A15" s="6" t="s">
        <v>41</v>
      </c>
      <c r="B15" s="21">
        <f>B6*Assumptions!$B$10</f>
        <v>21917070</v>
      </c>
      <c r="C15" s="21">
        <f>C6*Assumptions!$B$10</f>
        <v>43834140</v>
      </c>
      <c r="D15" s="21">
        <f>D6*Assumptions!$B$10</f>
        <v>65751210</v>
      </c>
    </row>
    <row r="16" spans="1:4">
      <c r="A16" s="6" t="s">
        <v>42</v>
      </c>
      <c r="B16" s="21">
        <f>B6*Assumptions!$B$12*Assumptions!$B$13</f>
        <v>15072000</v>
      </c>
      <c r="C16" s="21">
        <f>C6*Assumptions!$B$12*Assumptions!$B$13</f>
        <v>30144000</v>
      </c>
      <c r="D16" s="21">
        <f>D6*Assumptions!$B$12*Assumptions!$B$13</f>
        <v>45216000</v>
      </c>
    </row>
    <row r="17" spans="1:4">
      <c r="A17" s="6" t="s">
        <v>43</v>
      </c>
      <c r="B17" s="21">
        <f>B7*Assumptions!$B$9</f>
        <v>107594370</v>
      </c>
      <c r="C17" s="21">
        <f>C7*Assumptions!$B$9</f>
        <v>95639440</v>
      </c>
      <c r="D17" s="21">
        <f>D7*Assumptions!$B$9</f>
        <v>83684510</v>
      </c>
    </row>
    <row r="18" spans="1:4">
      <c r="A18" s="6" t="s">
        <v>44</v>
      </c>
      <c r="B18" s="21">
        <f>B7*Assumptions!$B$11*Assumptions!$B$13</f>
        <v>244224000</v>
      </c>
      <c r="C18" s="21">
        <f>C7*Assumptions!$B$11*Assumptions!$B$13</f>
        <v>217088000</v>
      </c>
      <c r="D18" s="21">
        <f>D7*Assumptions!$B$11*Assumptions!$B$13</f>
        <v>189952000</v>
      </c>
    </row>
    <row r="19" spans="1:4">
      <c r="A19" s="8" t="s">
        <v>45</v>
      </c>
      <c r="B19" s="12">
        <f>SUM(B15:B18)</f>
        <v>388807440</v>
      </c>
      <c r="C19" s="12">
        <f>SUM(C15:C18)</f>
        <v>386705580</v>
      </c>
      <c r="D19" s="12">
        <f>SUM(D15:D18)</f>
        <v>384603720</v>
      </c>
    </row>
    <row r="20" spans="1:4">
      <c r="A20" s="10"/>
      <c r="B20" s="10"/>
      <c r="C20" s="10"/>
      <c r="D20" s="10"/>
    </row>
    <row r="21" spans="1:4">
      <c r="A21" s="22" t="s">
        <v>46</v>
      </c>
      <c r="B21" s="23">
        <f>B19-B12</f>
        <v>-2101860</v>
      </c>
      <c r="C21" s="23">
        <f>C19-C12</f>
        <v>-4203720</v>
      </c>
      <c r="D21" s="23">
        <f>D19-D12</f>
        <v>-6305580</v>
      </c>
    </row>
    <row r="22" spans="1:4">
      <c r="A22" s="6" t="s">
        <v>47</v>
      </c>
      <c r="B22" s="24">
        <f>B21/Assumptions!$B$5</f>
        <v>-210.186</v>
      </c>
      <c r="C22" s="24">
        <f>C21/Assumptions!$B$5</f>
        <v>-420.372</v>
      </c>
      <c r="D22" s="24">
        <f>D21/Assumptions!$B$5</f>
        <v>-630.558</v>
      </c>
    </row>
    <row r="24" s="1" customFormat="1" spans="1:4">
      <c r="A24" s="4" t="s">
        <v>48</v>
      </c>
      <c r="B24" s="4"/>
      <c r="C24" s="4"/>
      <c r="D24" s="4"/>
    </row>
  </sheetData>
  <mergeCells count="3">
    <mergeCell ref="A1:D1"/>
    <mergeCell ref="A2:D2"/>
    <mergeCell ref="A24:D2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showGridLines="0" tabSelected="1" workbookViewId="0">
      <selection activeCell="D18" sqref="D18"/>
    </sheetView>
  </sheetViews>
  <sheetFormatPr defaultColWidth="8.67592592592593" defaultRowHeight="14.4" outlineLevelCol="1"/>
  <cols>
    <col min="1" max="1" width="42" customWidth="1"/>
    <col min="2" max="2" width="34.6666666666667" customWidth="1"/>
  </cols>
  <sheetData>
    <row r="1" ht="17.4" spans="1:2">
      <c r="A1" s="3" t="s">
        <v>49</v>
      </c>
      <c r="B1" s="3"/>
    </row>
    <row r="2" s="1" customFormat="1" spans="1:2">
      <c r="A2" s="4" t="s">
        <v>50</v>
      </c>
      <c r="B2" s="4"/>
    </row>
    <row r="4" spans="1:2">
      <c r="A4" s="5" t="s">
        <v>29</v>
      </c>
      <c r="B4" s="5" t="s">
        <v>3</v>
      </c>
    </row>
    <row r="5" spans="1:2">
      <c r="A5" s="6" t="s">
        <v>51</v>
      </c>
      <c r="B5" s="7">
        <f>Assumptions!$B$9</f>
        <v>11954.93</v>
      </c>
    </row>
    <row r="6" spans="1:2">
      <c r="A6" s="6" t="s">
        <v>52</v>
      </c>
      <c r="B6" s="7">
        <f>Assumptions!$B$10</f>
        <v>21917.07</v>
      </c>
    </row>
    <row r="7" spans="1:2">
      <c r="A7" s="8" t="s">
        <v>53</v>
      </c>
      <c r="B7" s="9">
        <f>B6-B5</f>
        <v>9962.14</v>
      </c>
    </row>
    <row r="8" spans="1:2">
      <c r="A8" s="10"/>
      <c r="B8" s="10"/>
    </row>
    <row r="9" spans="1:2">
      <c r="A9" s="6" t="s">
        <v>54</v>
      </c>
      <c r="B9" s="11">
        <f>Assumptions!$B$14</f>
        <v>0.1508</v>
      </c>
    </row>
    <row r="10" spans="1:2">
      <c r="A10" s="10"/>
      <c r="B10" s="10"/>
    </row>
    <row r="11" spans="1:2">
      <c r="A11" s="8" t="s">
        <v>55</v>
      </c>
      <c r="B11" s="12">
        <f>B7/B9</f>
        <v>66061.9363395226</v>
      </c>
    </row>
    <row r="12" spans="1:2">
      <c r="A12" s="10"/>
      <c r="B12" s="10"/>
    </row>
    <row r="13" spans="1:2">
      <c r="A13" s="6" t="s">
        <v>24</v>
      </c>
      <c r="B13" s="13">
        <f>Assumptions!$B$15</f>
        <v>50000</v>
      </c>
    </row>
    <row r="16" spans="1:2">
      <c r="A16" s="14" t="s">
        <v>56</v>
      </c>
      <c r="B16" s="14" t="str">
        <f>IF(B11&lt;=B13,"Cost-effective","Not cost-effective at this threshold")</f>
        <v>Not cost-effective at this threshold</v>
      </c>
    </row>
    <row r="18" spans="1:2">
      <c r="A18" s="14" t="s">
        <v>57</v>
      </c>
      <c r="B18" s="14"/>
    </row>
    <row r="19" s="2" customFormat="1" ht="30" customHeight="1" spans="1:2">
      <c r="A19" s="15" t="s">
        <v>58</v>
      </c>
      <c r="B19" s="15"/>
    </row>
  </sheetData>
  <mergeCells count="4">
    <mergeCell ref="A1:B1"/>
    <mergeCell ref="A2:B2"/>
    <mergeCell ref="A18:B18"/>
    <mergeCell ref="A19:B19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Assumptions</vt:lpstr>
      <vt:lpstr>Budget Impact Model</vt:lpstr>
      <vt:lpstr>HEOR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Srinithya Reddy</cp:lastModifiedBy>
  <cp:revision>0</cp:revision>
  <dcterms:created xsi:type="dcterms:W3CDTF">2026-07-09T09:00:00Z</dcterms:created>
  <dcterms:modified xsi:type="dcterms:W3CDTF">2015-03-15T09:21:13Z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A75A732424F640B682247499C1F2F515_12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